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F2F300D9-7EAE-4E61-9AE0-2539629EBD52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9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<sst xmlns="http://schemas.openxmlformats.org/spreadsheetml/2006/main" count="2022" uniqueCount="324">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</sst>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R$ 1.350,00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R$ 1.800,00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9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0" t="s">
        <v>313</v>
      </c>
      <c r="C3" s="20"/>
      <c r="D3" s="20"/>
      <c r="E3" s="20"/>
      <c r="F3" s="20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27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2824</v>
      </c>
    </row>
    <row r="13" spans="2:6">
      <c r="B13" s="14" t="s">
        <v>26</v>
      </c>
      <c r="C13" s="13">
        <v>747</v>
      </c>
    </row>
    <row r="14" spans="2:6">
      <c r="B14" s="14" t="s">
        <v>318</v>
      </c>
      <c r="C14" s="13">
        <v>3571</v>
      </c>
    </row>
    <row r="17" spans="2:5">
      <c r="B17" s="14" t="s">
        <v>319</v>
      </c>
    </row>
    <row r="19" spans="2:5">
      <c r="B19" s="12" t="s">
        <v>17</v>
      </c>
      <c r="C19" t="s">
        <v>27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1350</v>
      </c>
    </row>
    <row r="25" spans="2:5">
      <c r="B25" s="14" t="s">
        <v>318</v>
      </c>
      <c r="C25" s="15">
        <v>1350</v>
      </c>
      <c r="E25" s="17">
        <f>GETPIVOTDATA("EA Play Season Pass
Price",$B$21)</f>
        <v>1350</v>
      </c>
    </row>
    <row r="28" spans="2:5">
      <c r="B28" s="14" t="s">
        <v>321</v>
      </c>
    </row>
    <row r="30" spans="2:5">
      <c r="B30" s="12" t="s">
        <v>17</v>
      </c>
      <c r="C30" t="s">
        <v>27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900</v>
      </c>
    </row>
    <row r="35" spans="2:5">
      <c r="B35" s="14" t="s">
        <v>25</v>
      </c>
      <c r="C35" s="13">
        <v>900</v>
      </c>
    </row>
    <row r="36" spans="2:5">
      <c r="B36" s="14" t="s">
        <v>318</v>
      </c>
      <c r="C36" s="13">
        <v>1800</v>
      </c>
      <c r="E36" s="17">
        <f>GETPIVOTDATA("Minecraft Season Pass Price",$B$32)</f>
        <v>1800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Hello</cp:lastModifiedBy>
  <cp:revision/>
  <dcterms:created xsi:type="dcterms:W3CDTF">2024-12-19T13:13:10Z</dcterms:created>
  <dcterms:modified xsi:type="dcterms:W3CDTF">2026-01-25T12:03:41Z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